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FM\FASTQC\"/>
    </mc:Choice>
  </mc:AlternateContent>
  <xr:revisionPtr revIDLastSave="0" documentId="13_ncr:1_{A9EBF04E-BEF2-4E77-BC04-A1FF7C892B05}" xr6:coauthVersionLast="47" xr6:coauthVersionMax="47" xr10:uidLastSave="{00000000-0000-0000-0000-000000000000}"/>
  <bookViews>
    <workbookView xWindow="-110" yWindow="-110" windowWidth="19420" windowHeight="10420" xr2:uid="{BE486464-1291-4E49-BC39-96FB68812344}"/>
  </bookViews>
  <sheets>
    <sheet name="Fast QC 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D16" i="1"/>
</calcChain>
</file>

<file path=xl/sharedStrings.xml><?xml version="1.0" encoding="utf-8"?>
<sst xmlns="http://schemas.openxmlformats.org/spreadsheetml/2006/main" count="90" uniqueCount="74">
  <si>
    <t>Raw reads</t>
  </si>
  <si>
    <t>Effective(%)</t>
  </si>
  <si>
    <t>Error(%)</t>
  </si>
  <si>
    <t>Q20(%)</t>
  </si>
  <si>
    <t>Q30(%)</t>
  </si>
  <si>
    <t>GC(%)</t>
  </si>
  <si>
    <t>Emb_20_T1</t>
  </si>
  <si>
    <t>91.97</t>
  </si>
  <si>
    <t>0.01</t>
  </si>
  <si>
    <t>98.37</t>
  </si>
  <si>
    <t>95.56</t>
  </si>
  <si>
    <t>44.08</t>
  </si>
  <si>
    <t>Emb_21_T1</t>
  </si>
  <si>
    <t>98.29</t>
  </si>
  <si>
    <t>98.45</t>
  </si>
  <si>
    <t>95.67</t>
  </si>
  <si>
    <t>43.69</t>
  </si>
  <si>
    <t>Emb_22_T1</t>
  </si>
  <si>
    <t>96.48</t>
  </si>
  <si>
    <t>98.65</t>
  </si>
  <si>
    <t>96.09</t>
  </si>
  <si>
    <t>44.77</t>
  </si>
  <si>
    <t>95.01</t>
  </si>
  <si>
    <t>98.07</t>
  </si>
  <si>
    <t>94.70</t>
  </si>
  <si>
    <t>44.91</t>
  </si>
  <si>
    <t>Emb_26_T1</t>
  </si>
  <si>
    <t>96.70</t>
  </si>
  <si>
    <t>98.67</t>
  </si>
  <si>
    <t>96.14</t>
  </si>
  <si>
    <t>45.18</t>
  </si>
  <si>
    <t>Emb_28_T1</t>
  </si>
  <si>
    <t>98.08</t>
  </si>
  <si>
    <t>44.01</t>
  </si>
  <si>
    <t>Emb_35_T1</t>
  </si>
  <si>
    <t>97.17</t>
  </si>
  <si>
    <t>98.77</t>
  </si>
  <si>
    <t>96.32</t>
  </si>
  <si>
    <t>46.34</t>
  </si>
  <si>
    <t>Emb_25_T1</t>
  </si>
  <si>
    <t>98.63</t>
  </si>
  <si>
    <t>98.25</t>
  </si>
  <si>
    <t>95.04</t>
  </si>
  <si>
    <t>44.60</t>
  </si>
  <si>
    <t>98.54</t>
  </si>
  <si>
    <t>98.01</t>
  </si>
  <si>
    <t>94.33</t>
  </si>
  <si>
    <t>44.63</t>
  </si>
  <si>
    <t>Emb_23_T1</t>
  </si>
  <si>
    <t>98.33</t>
  </si>
  <si>
    <t>98.17</t>
  </si>
  <si>
    <t>94.73</t>
  </si>
  <si>
    <t>44.88</t>
  </si>
  <si>
    <t>97.99</t>
  </si>
  <si>
    <t>97.75</t>
  </si>
  <si>
    <t>94.06</t>
  </si>
  <si>
    <t>44.79</t>
  </si>
  <si>
    <t>Sample ID</t>
  </si>
  <si>
    <t>Lane</t>
  </si>
  <si>
    <t>Total Sequences</t>
  </si>
  <si>
    <t>Total Bases (Gbp)</t>
  </si>
  <si>
    <t>3.6</t>
  </si>
  <si>
    <t>Poor quality sequences</t>
  </si>
  <si>
    <t>Sequence Length (bp)</t>
  </si>
  <si>
    <t>2.9</t>
  </si>
  <si>
    <t>1.3</t>
  </si>
  <si>
    <t>1.9</t>
  </si>
  <si>
    <t>1.1</t>
  </si>
  <si>
    <t>3.1</t>
  </si>
  <si>
    <t>3.3</t>
  </si>
  <si>
    <t>0.557</t>
  </si>
  <si>
    <t>Emb 22</t>
  </si>
  <si>
    <t>Emb 23</t>
  </si>
  <si>
    <t>Emb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</si>
</sst>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33" borderId="0" xfId="0" applyFill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FCD54-2250-4FEC-877D-BF7AA40C32E8}">
  <dimension ref="A1:L18"/>
  <sheetViews>
    <sheetView tabSelected="1" workbookViewId="0">
      <selection activeCell="G18" sqref="G18"/>
    </sheetView>
  </sheetViews>
  <sheetFormatPr baseColWidth="10" defaultRowHeight="14.5" x14ac:dyDescent="0.35"/>
  <cols>
    <col min="2" max="2" width="7.90625" customWidth="1"/>
    <col min="4" max="4" width="14" customWidth="1"/>
    <col min="5" max="5" width="18.453125" customWidth="1"/>
    <col min="6" max="6" width="16.26953125" customWidth="1"/>
    <col min="7" max="7" width="19" customWidth="1"/>
  </cols>
  <sheetData>
    <row r="1" spans="1:12" x14ac:dyDescent="0.35">
      <c r="A1" s="4" t="s">
        <v>57</v>
      </c>
      <c r="B1" s="4" t="s">
        <v>58</v>
      </c>
      <c r="C1" s="4" t="s">
        <v>0</v>
      </c>
      <c r="D1" s="4" t="s">
        <v>59</v>
      </c>
      <c r="E1" s="4" t="s">
        <v>63</v>
      </c>
      <c r="F1" s="4" t="s">
        <v>60</v>
      </c>
      <c r="G1" s="4" t="s">
        <v>62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</row>
    <row r="2" spans="1:12" x14ac:dyDescent="0.35">
      <c r="A2" s="2" t="s">
        <v>6</v>
      </c>
      <c r="B2" s="2">
        <v>6</v>
      </c>
      <c r="C2" s="2">
        <v>49025076</v>
      </c>
      <c r="D2" s="2">
        <v>24512538</v>
      </c>
      <c r="E2" s="2">
        <v>150</v>
      </c>
      <c r="F2" s="2" t="s">
        <v>61</v>
      </c>
      <c r="G2" s="2">
        <v>0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</row>
    <row r="3" spans="1:12" x14ac:dyDescent="0.35">
      <c r="A3" s="2" t="s">
        <v>12</v>
      </c>
      <c r="B3" s="2">
        <v>6</v>
      </c>
      <c r="C3" s="2">
        <v>41272510</v>
      </c>
      <c r="D3" s="2">
        <v>20636255</v>
      </c>
      <c r="E3" s="2">
        <v>150</v>
      </c>
      <c r="F3" s="2">
        <v>3</v>
      </c>
      <c r="G3" s="2">
        <v>0</v>
      </c>
      <c r="H3" s="2" t="s">
        <v>13</v>
      </c>
      <c r="I3" s="2" t="s">
        <v>8</v>
      </c>
      <c r="J3" s="2" t="s">
        <v>14</v>
      </c>
      <c r="K3" s="2" t="s">
        <v>15</v>
      </c>
      <c r="L3" s="2" t="s">
        <v>16</v>
      </c>
    </row>
    <row r="4" spans="1:12" x14ac:dyDescent="0.35">
      <c r="A4" s="2" t="s">
        <v>17</v>
      </c>
      <c r="B4" s="2">
        <v>6</v>
      </c>
      <c r="C4" s="2">
        <v>38858430</v>
      </c>
      <c r="D4" s="2">
        <v>19429215</v>
      </c>
      <c r="E4" s="2">
        <v>150</v>
      </c>
      <c r="F4" s="2" t="s">
        <v>64</v>
      </c>
      <c r="G4" s="2">
        <v>0</v>
      </c>
      <c r="H4" s="2" t="s">
        <v>18</v>
      </c>
      <c r="I4" s="2" t="s">
        <v>8</v>
      </c>
      <c r="J4" s="2" t="s">
        <v>19</v>
      </c>
      <c r="K4" s="2" t="s">
        <v>20</v>
      </c>
      <c r="L4" s="2" t="s">
        <v>21</v>
      </c>
    </row>
    <row r="5" spans="1:12" x14ac:dyDescent="0.35">
      <c r="A5" s="2" t="s">
        <v>17</v>
      </c>
      <c r="B5" s="2">
        <v>7</v>
      </c>
      <c r="C5" s="2">
        <v>7431452</v>
      </c>
      <c r="D5" s="2">
        <v>3715726</v>
      </c>
      <c r="E5" s="2">
        <v>150</v>
      </c>
      <c r="F5" s="2" t="s">
        <v>70</v>
      </c>
      <c r="G5" s="2">
        <v>0</v>
      </c>
      <c r="H5" s="2" t="s">
        <v>22</v>
      </c>
      <c r="I5" s="2" t="s">
        <v>8</v>
      </c>
      <c r="J5" s="2" t="s">
        <v>23</v>
      </c>
      <c r="K5" s="2" t="s">
        <v>24</v>
      </c>
      <c r="L5" s="2" t="s">
        <v>25</v>
      </c>
    </row>
    <row r="6" spans="1:12" x14ac:dyDescent="0.35">
      <c r="A6" s="3" t="s">
        <v>48</v>
      </c>
      <c r="B6" s="3">
        <v>6</v>
      </c>
      <c r="C6" s="3">
        <v>18210284</v>
      </c>
      <c r="D6" s="3">
        <v>9105142</v>
      </c>
      <c r="E6" s="2">
        <v>150</v>
      </c>
      <c r="F6" s="3" t="s">
        <v>65</v>
      </c>
      <c r="G6" s="3">
        <v>0</v>
      </c>
      <c r="H6" s="3" t="s">
        <v>49</v>
      </c>
      <c r="I6" s="3" t="s">
        <v>8</v>
      </c>
      <c r="J6" s="3" t="s">
        <v>50</v>
      </c>
      <c r="K6" s="3" t="s">
        <v>51</v>
      </c>
      <c r="L6" s="3" t="s">
        <v>52</v>
      </c>
    </row>
    <row r="7" spans="1:12" x14ac:dyDescent="0.35">
      <c r="A7" s="3" t="s">
        <v>48</v>
      </c>
      <c r="B7" s="3">
        <v>7</v>
      </c>
      <c r="C7" s="3">
        <v>27747386</v>
      </c>
      <c r="D7" s="3">
        <v>13873693</v>
      </c>
      <c r="E7" s="2">
        <v>150</v>
      </c>
      <c r="F7" s="3">
        <v>2</v>
      </c>
      <c r="G7" s="3">
        <v>0</v>
      </c>
      <c r="H7" s="3" t="s">
        <v>53</v>
      </c>
      <c r="I7" s="3" t="s">
        <v>8</v>
      </c>
      <c r="J7" s="3" t="s">
        <v>54</v>
      </c>
      <c r="K7" s="3" t="s">
        <v>55</v>
      </c>
      <c r="L7" s="3" t="s">
        <v>56</v>
      </c>
    </row>
    <row r="8" spans="1:12" x14ac:dyDescent="0.35">
      <c r="A8" s="2" t="s">
        <v>39</v>
      </c>
      <c r="B8" s="2">
        <v>6</v>
      </c>
      <c r="C8" s="2">
        <v>26495688</v>
      </c>
      <c r="D8" s="2">
        <v>13247844</v>
      </c>
      <c r="E8" s="2">
        <v>150</v>
      </c>
      <c r="F8" s="2" t="s">
        <v>66</v>
      </c>
      <c r="G8" s="2">
        <v>0</v>
      </c>
      <c r="H8" s="2" t="s">
        <v>40</v>
      </c>
      <c r="I8" s="2" t="s">
        <v>8</v>
      </c>
      <c r="J8" s="2" t="s">
        <v>41</v>
      </c>
      <c r="K8" s="2" t="s">
        <v>42</v>
      </c>
      <c r="L8" s="2" t="s">
        <v>43</v>
      </c>
    </row>
    <row r="9" spans="1:12" x14ac:dyDescent="0.35">
      <c r="A9" s="2" t="s">
        <v>39</v>
      </c>
      <c r="B9" s="2">
        <v>5</v>
      </c>
      <c r="C9" s="2">
        <v>14991396</v>
      </c>
      <c r="D9" s="2">
        <v>7495698</v>
      </c>
      <c r="E9" s="2">
        <v>150</v>
      </c>
      <c r="F9" s="2" t="s">
        <v>67</v>
      </c>
      <c r="G9" s="2">
        <v>0</v>
      </c>
      <c r="H9" s="2" t="s">
        <v>44</v>
      </c>
      <c r="I9" s="2" t="s">
        <v>8</v>
      </c>
      <c r="J9" s="2" t="s">
        <v>45</v>
      </c>
      <c r="K9" s="2" t="s">
        <v>46</v>
      </c>
      <c r="L9" s="2" t="s">
        <v>47</v>
      </c>
    </row>
    <row r="10" spans="1:12" x14ac:dyDescent="0.35">
      <c r="A10" s="2" t="s">
        <v>26</v>
      </c>
      <c r="B10" s="2">
        <v>6</v>
      </c>
      <c r="C10" s="2">
        <v>42337506</v>
      </c>
      <c r="D10" s="2">
        <v>21168753</v>
      </c>
      <c r="E10" s="2">
        <v>150</v>
      </c>
      <c r="F10" s="2" t="s">
        <v>68</v>
      </c>
      <c r="G10" s="2">
        <v>0</v>
      </c>
      <c r="H10" s="2" t="s">
        <v>27</v>
      </c>
      <c r="I10" s="2" t="s">
        <v>8</v>
      </c>
      <c r="J10" s="2" t="s">
        <v>28</v>
      </c>
      <c r="K10" s="2" t="s">
        <v>29</v>
      </c>
      <c r="L10" s="2" t="s">
        <v>30</v>
      </c>
    </row>
    <row r="11" spans="1:12" x14ac:dyDescent="0.35">
      <c r="A11" s="2" t="s">
        <v>31</v>
      </c>
      <c r="B11" s="2">
        <v>6</v>
      </c>
      <c r="C11" s="2">
        <v>48023282</v>
      </c>
      <c r="D11" s="2">
        <v>24011641</v>
      </c>
      <c r="E11" s="2">
        <v>150</v>
      </c>
      <c r="F11" s="2" t="s">
        <v>61</v>
      </c>
      <c r="G11" s="2">
        <v>0</v>
      </c>
      <c r="H11" s="2" t="s">
        <v>32</v>
      </c>
      <c r="I11" s="2" t="s">
        <v>8</v>
      </c>
      <c r="J11" s="2" t="s">
        <v>19</v>
      </c>
      <c r="K11" s="2" t="s">
        <v>29</v>
      </c>
      <c r="L11" s="2" t="s">
        <v>33</v>
      </c>
    </row>
    <row r="12" spans="1:12" x14ac:dyDescent="0.35">
      <c r="A12" s="2" t="s">
        <v>34</v>
      </c>
      <c r="B12" s="2">
        <v>6</v>
      </c>
      <c r="C12" s="2">
        <v>44155946</v>
      </c>
      <c r="D12" s="2">
        <v>22077973</v>
      </c>
      <c r="E12" s="2">
        <v>150</v>
      </c>
      <c r="F12" s="2" t="s">
        <v>69</v>
      </c>
      <c r="G12" s="2">
        <v>0</v>
      </c>
      <c r="H12" s="2" t="s">
        <v>35</v>
      </c>
      <c r="I12" s="2" t="s">
        <v>8</v>
      </c>
      <c r="J12" s="2" t="s">
        <v>36</v>
      </c>
      <c r="K12" s="2" t="s">
        <v>37</v>
      </c>
      <c r="L12" s="2" t="s">
        <v>38</v>
      </c>
    </row>
    <row r="13" spans="1:12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6" spans="1:12" x14ac:dyDescent="0.35">
      <c r="C16" t="s">
        <v>71</v>
      </c>
      <c r="D16">
        <f>SUM(D4,D5)</f>
        <v>23144941</v>
      </c>
    </row>
    <row r="17" spans="3:4" x14ac:dyDescent="0.35">
      <c r="C17" t="s">
        <v>72</v>
      </c>
    </row>
    <row r="18" spans="3:4" x14ac:dyDescent="0.35">
      <c r="C18" t="s">
        <v>73</v>
      </c>
      <c r="D18">
        <f>SUM(D8,D9)</f>
        <v>20743542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Fast QC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Marc Ferrer Vidal</cp:lastModifiedBy>
  <dcterms:created xsi:type="dcterms:W3CDTF">2026-04-30T17:23:50Z</dcterms:created>
  <dcterms:modified xsi:type="dcterms:W3CDTF">2026-05-05T22:24:41Z</dcterms:modified>
</cp:coreProperties>
</file>